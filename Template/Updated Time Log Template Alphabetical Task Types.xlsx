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5" documentId="11_6701BBF086543802EB4C06483BC39B975AFC0194" xr6:coauthVersionLast="47" xr6:coauthVersionMax="47" xr10:uidLastSave="{0AF426E5-A0F5-4D0C-BB10-A49AD092B34E}"/>
  <bookViews>
    <workbookView xWindow="0" yWindow="0" windowWidth="28800" windowHeight="12030" xr2:uid="{00000000-000D-0000-FFFF-FFFF00000000}"/>
  </bookViews>
  <sheets>
    <sheet name="Sheet1" sheetId="1" r:id="rId1"/>
    <sheet name="Task Type Lookups" sheetId="2" state="hidden" r:id="rId2"/>
  </sheets>
  <definedNames>
    <definedName name="_xlnm._FilterDatabase" localSheetId="0" hidden="1">Sheet1!$A$3:$G$45</definedName>
    <definedName name="TaskTypesList">'Task Type Lookups'!$A$2:$A$39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B4" i="1"/>
  <c r="A5" i="1" s="1"/>
  <c r="B5" i="1" s="1"/>
  <c r="A6" i="1" s="1"/>
  <c r="B6" i="1" s="1"/>
  <c r="A7" i="1" s="1"/>
  <c r="B7" i="1" s="1"/>
  <c r="A8" i="1" s="1"/>
  <c r="B8" i="1" s="1"/>
  <c r="A9" i="1" s="1"/>
  <c r="B9" i="1" s="1"/>
  <c r="A10" i="1" s="1"/>
  <c r="B10" i="1" s="1"/>
  <c r="A11" i="1" s="1"/>
  <c r="B11" i="1" s="1"/>
  <c r="A12" i="1" s="1"/>
  <c r="B12" i="1" s="1"/>
  <c r="A13" i="1" s="1"/>
  <c r="B13" i="1" s="1"/>
  <c r="A14" i="1" s="1"/>
  <c r="B14" i="1" s="1"/>
  <c r="A15" i="1" s="1"/>
  <c r="B15" i="1" s="1"/>
  <c r="A16" i="1" s="1"/>
  <c r="B16" i="1" s="1"/>
  <c r="A17" i="1" s="1"/>
  <c r="B17" i="1" s="1"/>
  <c r="A18" i="1" s="1"/>
  <c r="B18" i="1" s="1"/>
  <c r="A19" i="1" s="1"/>
  <c r="B19" i="1" s="1"/>
  <c r="A20" i="1" s="1"/>
  <c r="B20" i="1" s="1"/>
  <c r="A21" i="1" s="1"/>
  <c r="B21" i="1" s="1"/>
  <c r="A22" i="1" s="1"/>
  <c r="B22" i="1" s="1"/>
  <c r="A23" i="1" s="1"/>
  <c r="B23" i="1" s="1"/>
  <c r="A24" i="1" s="1"/>
  <c r="B24" i="1" s="1"/>
  <c r="A25" i="1" s="1"/>
  <c r="B25" i="1" s="1"/>
  <c r="A26" i="1" s="1"/>
  <c r="B26" i="1" s="1"/>
  <c r="A27" i="1" s="1"/>
  <c r="B27" i="1" s="1"/>
  <c r="A28" i="1" s="1"/>
  <c r="B28" i="1" s="1"/>
  <c r="A29" i="1" s="1"/>
  <c r="B29" i="1" s="1"/>
  <c r="A30" i="1" s="1"/>
  <c r="B30" i="1" s="1"/>
  <c r="A31" i="1" s="1"/>
  <c r="B31" i="1" s="1"/>
  <c r="A32" i="1" s="1"/>
  <c r="B32" i="1" s="1"/>
  <c r="A33" i="1" s="1"/>
  <c r="B33" i="1" s="1"/>
  <c r="A34" i="1" s="1"/>
  <c r="B34" i="1" s="1"/>
  <c r="A35" i="1" s="1"/>
  <c r="B35" i="1" s="1"/>
  <c r="A36" i="1" s="1"/>
  <c r="B36" i="1" s="1"/>
  <c r="A37" i="1" s="1"/>
  <c r="B37" i="1" s="1"/>
  <c r="A38" i="1" s="1"/>
  <c r="B38" i="1" s="1"/>
  <c r="A39" i="1" s="1"/>
  <c r="B39" i="1" s="1"/>
  <c r="A40" i="1" s="1"/>
  <c r="B40" i="1" s="1"/>
  <c r="A41" i="1" s="1"/>
  <c r="B41" i="1" s="1"/>
  <c r="A42" i="1" s="1"/>
  <c r="B42" i="1" s="1"/>
  <c r="A43" i="1" s="1"/>
  <c r="B43" i="1" s="1"/>
  <c r="A44" i="1" s="1"/>
  <c r="B44" i="1" s="1"/>
  <c r="A45" i="1" s="1"/>
  <c r="B45" i="1" s="1"/>
  <c r="F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Total duration for rows 4 to 44, excluding Lunch Break and Time out (E.g. coffee/bathroom break).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The first task starts at 8:50 AM. Each subsequent task starts at the previous task finish time.</t>
        </r>
      </text>
    </comment>
    <comment ref="B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Finish time is calculated automatically from the start time and units.</t>
        </r>
      </text>
    </comment>
    <comment ref="C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Enter the number of units. One unit equals 6 minutes.</t>
        </r>
      </text>
    </comment>
    <comment ref="D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Duration is calculated automatically from units at 6 minutes per unit.</t>
        </r>
      </text>
    </comment>
    <comment ref="G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This note is looked up from column I based on the task type selected in column D.</t>
        </r>
      </text>
    </comment>
  </commentList>
</comments>
</file>

<file path=xl/sharedStrings.xml><?xml version="1.0" encoding="utf-8"?>
<sst xmlns="http://schemas.openxmlformats.org/spreadsheetml/2006/main" count="58" uniqueCount="53">
  <si>
    <t>Name:</t>
  </si>
  <si>
    <t>Pat</t>
  </si>
  <si>
    <t>Time Worked:</t>
  </si>
  <si>
    <t xml:space="preserve">Date: </t>
  </si>
  <si>
    <t>21/9/26</t>
  </si>
  <si>
    <t>Time Started</t>
  </si>
  <si>
    <t>Time Finished</t>
  </si>
  <si>
    <t>Units</t>
  </si>
  <si>
    <t>Duration</t>
  </si>
  <si>
    <t>Task Type</t>
  </si>
  <si>
    <t>Description</t>
  </si>
  <si>
    <t>Task Type Explanatory Notes</t>
  </si>
  <si>
    <t>Lunch Break</t>
  </si>
  <si>
    <t>Explanatory Notes</t>
  </si>
  <si>
    <t>Actioning Brief Filing</t>
  </si>
  <si>
    <t>Actioning faxes</t>
  </si>
  <si>
    <t>Actioning Mail</t>
  </si>
  <si>
    <t>Actioning Misc/Coro Filing</t>
  </si>
  <si>
    <t>Actioning voicemails</t>
  </si>
  <si>
    <t>Booking/costing a courier</t>
  </si>
  <si>
    <t>Brief to Counsel</t>
  </si>
  <si>
    <t>Clearing holding trays</t>
  </si>
  <si>
    <t>Client Support Task</t>
  </si>
  <si>
    <t>Collecting Filing/Brief Filing</t>
  </si>
  <si>
    <t>Collecting/Actioning Scanning</t>
  </si>
  <si>
    <t>Court Run</t>
  </si>
  <si>
    <t>Dealing with a walk-in</t>
  </si>
  <si>
    <t>Deed Packets/Wills Register</t>
  </si>
  <si>
    <t>Downloading Docs to/from USB/CD</t>
  </si>
  <si>
    <t>Emailing payment receipts</t>
  </si>
  <si>
    <t>Emptying shredding boxes</t>
  </si>
  <si>
    <t>Emptying/Putting items into Satchel</t>
  </si>
  <si>
    <t>File Closures</t>
  </si>
  <si>
    <t>For file closures, ensure to write how many files you closed in the description for that period</t>
  </si>
  <si>
    <t>GA phone call (outgoing)</t>
  </si>
  <si>
    <t>For calls, explain nature of call (e.g. PNC, obtaining verbal authority, obtain info to open a file etc.)</t>
  </si>
  <si>
    <t>GA phone call (overflow)</t>
  </si>
  <si>
    <t>Making Tea/Coffee for Clients</t>
  </si>
  <si>
    <t>Merge a Client Services Agreement</t>
  </si>
  <si>
    <t>Newspaper/Magazine rotation</t>
  </si>
  <si>
    <t>NOK/VOI Follow Ups</t>
  </si>
  <si>
    <t>Opening a file</t>
  </si>
  <si>
    <t>Other</t>
  </si>
  <si>
    <t>PNC Follow Ups</t>
  </si>
  <si>
    <t>Printing/Scanning/Copying</t>
  </si>
  <si>
    <t>Put away stock order</t>
  </si>
  <si>
    <t>Reception phone call</t>
  </si>
  <si>
    <t>Rounds</t>
  </si>
  <si>
    <t>Softlog admin/exceptions (Maddy)</t>
  </si>
  <si>
    <t>Taking a payment</t>
  </si>
  <si>
    <t>Time out (E.g. coffee/bathroom break)</t>
  </si>
  <si>
    <t>Will Execution</t>
  </si>
  <si>
    <t>Writing up/costing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</si>
</sst>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d/m/yy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1"/>
    <xf numFmtId="0" fontId="1" fillId="3" borderId="0"/>
    <xf numFmtId="0" fontId="1" fillId="4" borderId="0"/>
    <xf numFmtId="0" fontId="4" fillId="0" borderId="0"/>
  </cellStyleXfs>
  <cellXfs count="38">
    <xf numFmtId="0" fontId="0" fillId="0" borderId="0" xfId="0"/>
    <xf numFmtId="0" fontId="4" fillId="0" borderId="0" xfId="4"/>
    <xf numFmtId="0" fontId="0" fillId="0" borderId="0" xfId="0" applyAlignment="1">
      <alignment vertical="center"/>
    </xf>
    <xf numFmtId="0" fontId="5" fillId="0" borderId="0" xfId="4" applyFont="1"/>
    <xf numFmtId="0" fontId="3" fillId="4" borderId="2" xfId="3" applyFont="1" applyBorder="1" applyAlignment="1">
      <alignment horizontal="left"/>
    </xf>
    <xf numFmtId="0" fontId="7" fillId="2" borderId="2" xfId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wrapText="1"/>
    </xf>
    <xf numFmtId="164" fontId="7" fillId="2" borderId="2" xfId="1" applyNumberFormat="1" applyFont="1" applyBorder="1" applyAlignment="1">
      <alignment horizontal="center" vertical="center"/>
    </xf>
    <xf numFmtId="0" fontId="4" fillId="0" borderId="0" xfId="4" applyAlignment="1">
      <alignment vertical="top" wrapText="1"/>
    </xf>
    <xf numFmtId="164" fontId="7" fillId="2" borderId="2" xfId="1" applyNumberFormat="1" applyFont="1" applyBorder="1" applyAlignment="1">
      <alignment horizontal="center" vertical="center" wrapText="1"/>
    </xf>
    <xf numFmtId="0" fontId="0" fillId="0" borderId="3" xfId="0" applyBorder="1"/>
    <xf numFmtId="0" fontId="7" fillId="2" borderId="2" xfId="1" applyFont="1" applyBorder="1" applyAlignment="1" applyProtection="1">
      <alignment vertical="top" wrapText="1"/>
      <protection locked="0"/>
    </xf>
    <xf numFmtId="0" fontId="7" fillId="2" borderId="3" xfId="1" applyFont="1" applyBorder="1" applyAlignment="1" applyProtection="1">
      <alignment vertical="top" wrapText="1"/>
      <protection locked="0"/>
    </xf>
    <xf numFmtId="0" fontId="4" fillId="0" borderId="2" xfId="4" applyBorder="1" applyAlignment="1">
      <alignment horizontal="center"/>
    </xf>
    <xf numFmtId="1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top" wrapText="1"/>
    </xf>
    <xf numFmtId="0" fontId="8" fillId="5" borderId="0" xfId="0" applyFont="1" applyFill="1" applyAlignment="1">
      <alignment vertical="center"/>
    </xf>
    <xf numFmtId="1" fontId="7" fillId="2" borderId="2" xfId="1" applyNumberFormat="1" applyFont="1" applyBorder="1" applyAlignment="1" applyProtection="1">
      <alignment horizontal="center" vertical="top"/>
      <protection locked="0"/>
    </xf>
    <xf numFmtId="1" fontId="0" fillId="0" borderId="0" xfId="0" applyNumberFormat="1" applyAlignment="1">
      <alignment horizontal="center" vertical="top"/>
    </xf>
    <xf numFmtId="0" fontId="9" fillId="6" borderId="3" xfId="0" applyFont="1" applyFill="1" applyBorder="1" applyAlignment="1">
      <alignment horizontal="right"/>
    </xf>
    <xf numFmtId="164" fontId="9" fillId="6" borderId="0" xfId="4" applyNumberFormat="1" applyFont="1" applyFill="1" applyAlignment="1">
      <alignment horizontal="center"/>
    </xf>
    <xf numFmtId="0" fontId="5" fillId="0" borderId="0" xfId="4" applyFont="1" applyAlignment="1">
      <alignment horizontal="center" wrapText="1"/>
    </xf>
    <xf numFmtId="14" fontId="4" fillId="0" borderId="0" xfId="4" applyNumberFormat="1" applyAlignment="1">
      <alignment horizontal="center"/>
    </xf>
    <xf numFmtId="0" fontId="3" fillId="3" borderId="2" xfId="2" applyFont="1" applyBorder="1" applyAlignment="1">
      <alignment horizontal="center" wrapText="1"/>
    </xf>
    <xf numFmtId="0" fontId="3" fillId="3" borderId="2" xfId="2" applyFont="1" applyBorder="1" applyAlignment="1">
      <alignment horizontal="center" vertical="center"/>
    </xf>
    <xf numFmtId="0" fontId="3" fillId="3" borderId="3" xfId="2" applyFont="1" applyBorder="1" applyAlignment="1">
      <alignment wrapText="1"/>
    </xf>
    <xf numFmtId="0" fontId="3" fillId="3" borderId="3" xfId="4" applyFont="1" applyFill="1" applyBorder="1" applyAlignment="1">
      <alignment wrapText="1"/>
    </xf>
    <xf numFmtId="0" fontId="3" fillId="3" borderId="2" xfId="2" applyFont="1" applyBorder="1" applyAlignment="1">
      <alignment wrapText="1"/>
    </xf>
    <xf numFmtId="0" fontId="4" fillId="0" borderId="0" xfId="4" applyAlignment="1">
      <alignment horizontal="center" wrapText="1"/>
    </xf>
    <xf numFmtId="18" fontId="7" fillId="2" borderId="2" xfId="1" applyNumberFormat="1" applyFont="1" applyBorder="1" applyAlignment="1">
      <alignment horizontal="center" vertical="center"/>
    </xf>
    <xf numFmtId="0" fontId="6" fillId="0" borderId="2" xfId="4" applyFont="1" applyBorder="1" applyAlignment="1">
      <alignment horizontal="left" wrapText="1"/>
    </xf>
    <xf numFmtId="0" fontId="0" fillId="0" borderId="0" xfId="0" applyAlignment="1">
      <alignment wrapText="1"/>
    </xf>
    <xf numFmtId="49" fontId="7" fillId="2" borderId="3" xfId="1" applyNumberFormat="1" applyFont="1" applyBorder="1" applyAlignment="1" applyProtection="1">
      <alignment vertical="top" wrapText="1"/>
      <protection locked="0"/>
    </xf>
    <xf numFmtId="49" fontId="0" fillId="4" borderId="2" xfId="3" applyNumberFormat="1" applyFont="1" applyBorder="1" applyAlignment="1" applyProtection="1">
      <alignment horizontal="left" wrapText="1"/>
      <protection locked="0"/>
    </xf>
    <xf numFmtId="165" fontId="1" fillId="4" borderId="2" xfId="3" applyNumberFormat="1" applyBorder="1" applyAlignment="1" applyProtection="1">
      <alignment horizontal="left" wrapText="1"/>
      <protection locked="0"/>
    </xf>
    <xf numFmtId="0" fontId="0" fillId="0" borderId="4" xfId="0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5">
    <cellStyle name="20% - Accent1" xfId="2" builtinId="30"/>
    <cellStyle name="20% - Accent2" xfId="3" builtinId="34"/>
    <cellStyle name="Normal" xfId="0" builtinId="0"/>
    <cellStyle name="Normal 2" xfId="4" xr:uid="{00000000-0005-0000-0000-000004000000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showGridLines="0" tabSelected="1" workbookViewId="0">
      <pane ySplit="3" topLeftCell="A4" activePane="bottomLeft" state="frozen"/>
      <selection pane="bottomLeft" activeCell="E4" sqref="E4"/>
    </sheetView>
  </sheetViews>
  <sheetFormatPr defaultRowHeight="15"/>
  <cols>
    <col min="1" max="2" width="14" customWidth="1"/>
    <col min="3" max="3" width="10" customWidth="1"/>
    <col min="4" max="4" width="31.7109375" customWidth="1"/>
    <col min="5" max="5" width="34" customWidth="1"/>
    <col min="6" max="6" width="90.28515625" customWidth="1"/>
    <col min="7" max="7" width="55" customWidth="1"/>
    <col min="8" max="8" width="1.42578125" hidden="1" customWidth="1"/>
    <col min="9" max="9" width="11.5703125" hidden="1" customWidth="1"/>
    <col min="10" max="18" width="13" hidden="1" customWidth="1"/>
  </cols>
  <sheetData>
    <row r="1" spans="1:12" ht="26.45" customHeight="1">
      <c r="A1" s="4" t="s">
        <v>0</v>
      </c>
      <c r="B1" s="34" t="s">
        <v>1</v>
      </c>
      <c r="C1" s="36"/>
      <c r="D1" s="37"/>
      <c r="E1" s="20" t="s">
        <v>2</v>
      </c>
      <c r="F1" s="21">
        <f>SUMIFS($D$4:$D$44,$E$4:$E$44,"&lt;&gt;Lunch Break",$E$4:$E$44,"&lt;&gt;Time out (E.g. coffee/bathroom break)")</f>
        <v>0</v>
      </c>
      <c r="G1" s="22"/>
      <c r="H1" s="23"/>
      <c r="K1" s="1"/>
      <c r="L1" s="1"/>
    </row>
    <row r="2" spans="1:12" ht="27.75" customHeight="1">
      <c r="A2" s="4" t="s">
        <v>3</v>
      </c>
      <c r="B2" s="35" t="s">
        <v>4</v>
      </c>
      <c r="C2" s="36"/>
      <c r="D2" s="37"/>
      <c r="E2" s="10"/>
      <c r="F2" s="1"/>
      <c r="G2" s="1"/>
      <c r="H2" s="1"/>
      <c r="I2" s="3"/>
      <c r="J2" s="1"/>
      <c r="K2" s="1"/>
      <c r="L2" s="1"/>
    </row>
    <row r="3" spans="1:12" ht="27.6" customHeight="1">
      <c r="A3" s="24" t="s">
        <v>5</v>
      </c>
      <c r="B3" s="24" t="s">
        <v>6</v>
      </c>
      <c r="C3" s="25" t="s">
        <v>7</v>
      </c>
      <c r="D3" s="24" t="s">
        <v>8</v>
      </c>
      <c r="E3" s="24" t="s">
        <v>9</v>
      </c>
      <c r="F3" s="26" t="s">
        <v>10</v>
      </c>
      <c r="G3" s="27" t="s">
        <v>11</v>
      </c>
      <c r="H3" s="28"/>
      <c r="I3" s="29"/>
      <c r="K3" s="32"/>
    </row>
    <row r="4" spans="1:12" ht="30" customHeight="1">
      <c r="A4" s="30">
        <v>0.36805555555555558</v>
      </c>
      <c r="B4" s="30">
        <f>IF(OR(A4="",C4=""),"",A4+C4*TIME(0,6,0))</f>
        <v>0.40972222222222227</v>
      </c>
      <c r="C4" s="18">
        <v>10</v>
      </c>
      <c r="D4" s="7">
        <f>IF(C4="","",C4*TIME(0,6,0))</f>
        <v>4.1666666666666664E-2</v>
      </c>
      <c r="E4" s="11" t="s">
        <v>12</v>
      </c>
      <c r="F4" s="33"/>
      <c r="G4" s="8">
        <f>IFERROR(VLOOKUP(E4,'Task Type Lookups'!$A$2:$B$39,2,FALSE),"")</f>
        <v>0</v>
      </c>
      <c r="H4" s="31"/>
    </row>
    <row r="5" spans="1:12" ht="30" customHeight="1">
      <c r="A5" s="30">
        <f>IF(B4="","",B4)</f>
        <v>0.40972222222222227</v>
      </c>
      <c r="B5" s="30">
        <f>IF(OR(A5="",C5=""),"",A5+C5*TIME(0,6,0))</f>
        <v>0.41805555555555562</v>
      </c>
      <c r="C5" s="18">
        <v>2</v>
      </c>
      <c r="D5" s="7">
        <f>IF(C5="","",C5*TIME(0,6,0))</f>
        <v>8.3333333333333332E-3</v>
      </c>
      <c r="E5" s="11" t="s">
        <v>12</v>
      </c>
      <c r="F5" s="12"/>
      <c r="G5" s="8">
        <f>IFERROR(VLOOKUP(E5,'Task Type Lookups'!$A$2:$B$39,2,FALSE),"")</f>
        <v>0</v>
      </c>
      <c r="H5" s="31"/>
      <c r="J5" s="6"/>
    </row>
    <row r="6" spans="1:12" ht="30" customHeight="1">
      <c r="A6" s="30">
        <f>IF(B5="","",B5)</f>
        <v>0.41805555555555562</v>
      </c>
      <c r="B6" s="30" t="str">
        <f>IF(OR(A6="",C6=""),"",A6+C6*TIME(0,6,0))</f>
        <v/>
      </c>
      <c r="C6" s="18"/>
      <c r="D6" s="7" t="str">
        <f>IF(C6="","",C6*TIME(0,6,0))</f>
        <v/>
      </c>
      <c r="E6" s="11"/>
      <c r="F6" s="11"/>
      <c r="G6" s="8" t="str">
        <f>IFERROR(VLOOKUP(E6,'Task Type Lookups'!$A$2:$B$39,2,FALSE),"")</f>
        <v/>
      </c>
      <c r="H6" s="31"/>
    </row>
    <row r="7" spans="1:12" ht="30" customHeight="1">
      <c r="A7" s="30" t="str">
        <f>IF(B6="","",B6)</f>
        <v/>
      </c>
      <c r="B7" s="30" t="str">
        <f>IF(OR(A7="",C7=""),"",A7+C7*TIME(0,6,0))</f>
        <v/>
      </c>
      <c r="C7" s="18"/>
      <c r="D7" s="7" t="str">
        <f>IF(C7="","",C7*TIME(0,6,0))</f>
        <v/>
      </c>
      <c r="E7" s="11"/>
      <c r="F7" s="11"/>
      <c r="G7" s="8" t="str">
        <f>IFERROR(VLOOKUP(E7,'Task Type Lookups'!$A$2:$B$39,2,FALSE),"")</f>
        <v/>
      </c>
      <c r="H7" s="31"/>
    </row>
    <row r="8" spans="1:12" ht="30" customHeight="1">
      <c r="A8" s="30" t="str">
        <f>IF(B7="","",B7)</f>
        <v/>
      </c>
      <c r="B8" s="30" t="str">
        <f>IF(OR(A8="",C8=""),"",A8+C8*TIME(0,6,0))</f>
        <v/>
      </c>
      <c r="C8" s="18"/>
      <c r="D8" s="7" t="str">
        <f>IF(C8="","",C8*TIME(0,6,0))</f>
        <v/>
      </c>
      <c r="E8" s="11"/>
      <c r="F8" s="11"/>
      <c r="G8" s="8" t="str">
        <f>IFERROR(VLOOKUP(E8,'Task Type Lookups'!$A$2:$B$39,2,FALSE),"")</f>
        <v/>
      </c>
      <c r="H8" s="31"/>
    </row>
    <row r="9" spans="1:12" ht="30" customHeight="1">
      <c r="A9" s="30" t="str">
        <f>IF(B8="","",B8)</f>
        <v/>
      </c>
      <c r="B9" s="30" t="str">
        <f>IF(OR(A9="",C9=""),"",A9+C9*TIME(0,6,0))</f>
        <v/>
      </c>
      <c r="C9" s="18"/>
      <c r="D9" s="7" t="str">
        <f>IF(C9="","",C9*TIME(0,6,0))</f>
        <v/>
      </c>
      <c r="E9" s="11"/>
      <c r="F9" s="11"/>
      <c r="G9" s="8" t="str">
        <f>IFERROR(VLOOKUP(E9,'Task Type Lookups'!$A$2:$B$39,2,FALSE),"")</f>
        <v/>
      </c>
      <c r="H9" s="31"/>
    </row>
    <row r="10" spans="1:12" ht="30" customHeight="1">
      <c r="A10" s="30" t="str">
        <f>IF(B9="","",B9)</f>
        <v/>
      </c>
      <c r="B10" s="30" t="str">
        <f>IF(OR(A10="",C10=""),"",A10+C10*TIME(0,6,0))</f>
        <v/>
      </c>
      <c r="C10" s="18"/>
      <c r="D10" s="7" t="str">
        <f>IF(C10="","",C10*TIME(0,6,0))</f>
        <v/>
      </c>
      <c r="E10" s="11"/>
      <c r="F10" s="11"/>
      <c r="G10" s="8" t="str">
        <f>IFERROR(VLOOKUP(E10,'Task Type Lookups'!$A$2:$B$39,2,FALSE),"")</f>
        <v/>
      </c>
      <c r="H10" s="31"/>
    </row>
    <row r="11" spans="1:12" ht="30" customHeight="1">
      <c r="A11" s="30" t="str">
        <f>IF(B10="","",B10)</f>
        <v/>
      </c>
      <c r="B11" s="30" t="str">
        <f>IF(OR(A11="",C11=""),"",A11+C11*TIME(0,6,0))</f>
        <v/>
      </c>
      <c r="C11" s="18"/>
      <c r="D11" s="7" t="str">
        <f>IF(C11="","",C11*TIME(0,6,0))</f>
        <v/>
      </c>
      <c r="E11" s="11"/>
      <c r="F11" s="11"/>
      <c r="G11" s="8" t="str">
        <f>IFERROR(VLOOKUP(E11,'Task Type Lookups'!$A$2:$B$39,2,FALSE),"")</f>
        <v/>
      </c>
      <c r="H11" s="31"/>
    </row>
    <row r="12" spans="1:12" ht="30" customHeight="1">
      <c r="A12" s="30" t="str">
        <f>IF(B11="","",B11)</f>
        <v/>
      </c>
      <c r="B12" s="30" t="str">
        <f>IF(OR(A12="",C12=""),"",A12+C12*TIME(0,6,0))</f>
        <v/>
      </c>
      <c r="C12" s="18"/>
      <c r="D12" s="7" t="str">
        <f>IF(C12="","",C12*TIME(0,6,0))</f>
        <v/>
      </c>
      <c r="E12" s="11"/>
      <c r="F12" s="11"/>
      <c r="G12" s="8" t="str">
        <f>IFERROR(VLOOKUP(E12,'Task Type Lookups'!$A$2:$B$39,2,FALSE),"")</f>
        <v/>
      </c>
      <c r="H12" s="31"/>
    </row>
    <row r="13" spans="1:12" ht="30" customHeight="1">
      <c r="A13" s="30" t="str">
        <f>IF(B12="","",B12)</f>
        <v/>
      </c>
      <c r="B13" s="30" t="str">
        <f>IF(OR(A13="",C13=""),"",A13+C13*TIME(0,6,0))</f>
        <v/>
      </c>
      <c r="C13" s="18"/>
      <c r="D13" s="7" t="str">
        <f>IF(C13="","",C13*TIME(0,6,0))</f>
        <v/>
      </c>
      <c r="E13" s="11"/>
      <c r="F13" s="11"/>
      <c r="G13" s="8" t="str">
        <f>IFERROR(VLOOKUP(E13,'Task Type Lookups'!$A$2:$B$39,2,FALSE),"")</f>
        <v/>
      </c>
      <c r="H13" s="31"/>
    </row>
    <row r="14" spans="1:12" ht="30" customHeight="1">
      <c r="A14" s="30" t="str">
        <f>IF(B13="","",B13)</f>
        <v/>
      </c>
      <c r="B14" s="30" t="str">
        <f>IF(OR(A14="",C14=""),"",A14+C14*TIME(0,6,0))</f>
        <v/>
      </c>
      <c r="C14" s="18"/>
      <c r="D14" s="7" t="str">
        <f>IF(C14="","",C14*TIME(0,6,0))</f>
        <v/>
      </c>
      <c r="E14" s="11"/>
      <c r="F14" s="11"/>
      <c r="G14" s="8" t="str">
        <f>IFERROR(VLOOKUP(E14,'Task Type Lookups'!$A$2:$B$39,2,FALSE),"")</f>
        <v/>
      </c>
      <c r="H14" s="31"/>
    </row>
    <row r="15" spans="1:12" ht="30" customHeight="1">
      <c r="A15" s="30" t="str">
        <f>IF(B14="","",B14)</f>
        <v/>
      </c>
      <c r="B15" s="30" t="str">
        <f>IF(OR(A15="",C15=""),"",A15+C15*TIME(0,6,0))</f>
        <v/>
      </c>
      <c r="C15" s="18"/>
      <c r="D15" s="7" t="str">
        <f>IF(C15="","",C15*TIME(0,6,0))</f>
        <v/>
      </c>
      <c r="E15" s="11"/>
      <c r="F15" s="11"/>
      <c r="G15" s="8" t="str">
        <f>IFERROR(VLOOKUP(E15,'Task Type Lookups'!$A$2:$B$39,2,FALSE),"")</f>
        <v/>
      </c>
      <c r="H15" s="31"/>
    </row>
    <row r="16" spans="1:12" ht="30" customHeight="1">
      <c r="A16" s="30" t="str">
        <f>IF(B15="","",B15)</f>
        <v/>
      </c>
      <c r="B16" s="30" t="str">
        <f>IF(OR(A16="",C16=""),"",A16+C16*TIME(0,6,0))</f>
        <v/>
      </c>
      <c r="C16" s="18"/>
      <c r="D16" s="7" t="str">
        <f>IF(C16="","",C16*TIME(0,6,0))</f>
        <v/>
      </c>
      <c r="E16" s="11"/>
      <c r="F16" s="11"/>
      <c r="G16" s="8" t="str">
        <f>IFERROR(VLOOKUP(E16,'Task Type Lookups'!$A$2:$B$39,2,FALSE),"")</f>
        <v/>
      </c>
      <c r="H16" s="31"/>
    </row>
    <row r="17" spans="1:9" ht="30" customHeight="1">
      <c r="A17" s="30" t="str">
        <f>IF(B16="","",B16)</f>
        <v/>
      </c>
      <c r="B17" s="30" t="str">
        <f>IF(OR(A17="",C17=""),"",A17+C17*TIME(0,6,0))</f>
        <v/>
      </c>
      <c r="C17" s="18"/>
      <c r="D17" s="7" t="str">
        <f>IF(C17="","",C17*TIME(0,6,0))</f>
        <v/>
      </c>
      <c r="E17" s="11"/>
      <c r="F17" s="11"/>
      <c r="G17" s="8" t="str">
        <f>IFERROR(VLOOKUP(E17,'Task Type Lookups'!$A$2:$B$39,2,FALSE),"")</f>
        <v/>
      </c>
      <c r="H17" s="31"/>
    </row>
    <row r="18" spans="1:9" ht="30" customHeight="1">
      <c r="A18" s="30" t="str">
        <f>IF(B17="","",B17)</f>
        <v/>
      </c>
      <c r="B18" s="30" t="str">
        <f>IF(OR(A18="",C18=""),"",A18+C18*TIME(0,6,0))</f>
        <v/>
      </c>
      <c r="C18" s="18"/>
      <c r="D18" s="7" t="str">
        <f>IF(C18="","",C18*TIME(0,6,0))</f>
        <v/>
      </c>
      <c r="E18" s="11"/>
      <c r="F18" s="11"/>
      <c r="G18" s="8" t="str">
        <f>IFERROR(VLOOKUP(E18,'Task Type Lookups'!$A$2:$B$39,2,FALSE),"")</f>
        <v/>
      </c>
      <c r="H18" s="31"/>
    </row>
    <row r="19" spans="1:9" ht="30" customHeight="1">
      <c r="A19" s="30" t="str">
        <f>IF(B18="","",B18)</f>
        <v/>
      </c>
      <c r="B19" s="30" t="str">
        <f>IF(OR(A19="",C19=""),"",A19+C19*TIME(0,6,0))</f>
        <v/>
      </c>
      <c r="C19" s="18"/>
      <c r="D19" s="7" t="str">
        <f>IF(C19="","",C19*TIME(0,6,0))</f>
        <v/>
      </c>
      <c r="E19" s="11"/>
      <c r="F19" s="11"/>
      <c r="G19" s="8" t="str">
        <f>IFERROR(VLOOKUP(E19,'Task Type Lookups'!$A$2:$B$39,2,FALSE),"")</f>
        <v/>
      </c>
      <c r="H19" s="31"/>
    </row>
    <row r="20" spans="1:9" ht="30" customHeight="1">
      <c r="A20" s="30" t="str">
        <f>IF(B19="","",B19)</f>
        <v/>
      </c>
      <c r="B20" s="30" t="str">
        <f>IF(OR(A20="",C20=""),"",A20+C20*TIME(0,6,0))</f>
        <v/>
      </c>
      <c r="C20" s="18"/>
      <c r="D20" s="7" t="str">
        <f>IF(C20="","",C20*TIME(0,6,0))</f>
        <v/>
      </c>
      <c r="E20" s="11"/>
      <c r="F20" s="11"/>
      <c r="G20" s="8" t="str">
        <f>IFERROR(VLOOKUP(E20,'Task Type Lookups'!$A$2:$B$39,2,FALSE),"")</f>
        <v/>
      </c>
      <c r="H20" s="31"/>
    </row>
    <row r="21" spans="1:9" ht="30" customHeight="1">
      <c r="A21" s="30" t="str">
        <f>IF(B20="","",B20)</f>
        <v/>
      </c>
      <c r="B21" s="30" t="str">
        <f>IF(OR(A21="",C21=""),"",A21+C21*TIME(0,6,0))</f>
        <v/>
      </c>
      <c r="C21" s="18"/>
      <c r="D21" s="7" t="str">
        <f>IF(C21="","",C21*TIME(0,6,0))</f>
        <v/>
      </c>
      <c r="E21" s="11"/>
      <c r="F21" s="11"/>
      <c r="G21" s="8" t="str">
        <f>IFERROR(VLOOKUP(E21,'Task Type Lookups'!$A$2:$B$39,2,FALSE),"")</f>
        <v/>
      </c>
      <c r="H21" s="31"/>
    </row>
    <row r="22" spans="1:9" ht="30" customHeight="1">
      <c r="A22" s="30" t="str">
        <f>IF(B21="","",B21)</f>
        <v/>
      </c>
      <c r="B22" s="30" t="str">
        <f>IF(OR(A22="",C22=""),"",A22+C22*TIME(0,6,0))</f>
        <v/>
      </c>
      <c r="C22" s="18"/>
      <c r="D22" s="7" t="str">
        <f>IF(C22="","",C22*TIME(0,6,0))</f>
        <v/>
      </c>
      <c r="E22" s="11"/>
      <c r="F22" s="11"/>
      <c r="G22" s="8" t="str">
        <f>IFERROR(VLOOKUP(E22,'Task Type Lookups'!$A$2:$B$39,2,FALSE),"")</f>
        <v/>
      </c>
      <c r="H22" s="31"/>
    </row>
    <row r="23" spans="1:9" ht="30" customHeight="1">
      <c r="A23" s="30" t="str">
        <f>IF(B22="","",B22)</f>
        <v/>
      </c>
      <c r="B23" s="30" t="str">
        <f>IF(OR(A23="",C23=""),"",A23+C23*TIME(0,6,0))</f>
        <v/>
      </c>
      <c r="C23" s="18"/>
      <c r="D23" s="7" t="str">
        <f>IF(C23="","",C23*TIME(0,6,0))</f>
        <v/>
      </c>
      <c r="E23" s="11"/>
      <c r="F23" s="11"/>
      <c r="G23" s="8" t="str">
        <f>IFERROR(VLOOKUP(E23,'Task Type Lookups'!$A$2:$B$39,2,FALSE),"")</f>
        <v/>
      </c>
      <c r="H23" s="31"/>
    </row>
    <row r="24" spans="1:9" ht="30" customHeight="1">
      <c r="A24" s="30" t="str">
        <f>IF(B23="","",B23)</f>
        <v/>
      </c>
      <c r="B24" s="30" t="str">
        <f>IF(OR(A24="",C24=""),"",A24+C24*TIME(0,6,0))</f>
        <v/>
      </c>
      <c r="C24" s="18"/>
      <c r="D24" s="7" t="str">
        <f>IF(C24="","",C24*TIME(0,6,0))</f>
        <v/>
      </c>
      <c r="E24" s="11"/>
      <c r="F24" s="11"/>
      <c r="G24" s="8" t="str">
        <f>IFERROR(VLOOKUP(E24,'Task Type Lookups'!$A$2:$B$39,2,FALSE),"")</f>
        <v/>
      </c>
      <c r="H24" s="31"/>
    </row>
    <row r="25" spans="1:9" ht="30" customHeight="1">
      <c r="A25" s="30" t="str">
        <f>IF(B24="","",B24)</f>
        <v/>
      </c>
      <c r="B25" s="30" t="str">
        <f>IF(OR(A25="",C25=""),"",A25+C25*TIME(0,6,0))</f>
        <v/>
      </c>
      <c r="C25" s="18"/>
      <c r="D25" s="7" t="str">
        <f>IF(C25="","",C25*TIME(0,6,0))</f>
        <v/>
      </c>
      <c r="E25" s="11"/>
      <c r="F25" s="11"/>
      <c r="G25" s="8" t="str">
        <f>IFERROR(VLOOKUP(E25,'Task Type Lookups'!$A$2:$B$39,2,FALSE),"")</f>
        <v/>
      </c>
      <c r="H25" s="31"/>
    </row>
    <row r="26" spans="1:9" ht="30" customHeight="1">
      <c r="A26" s="30" t="str">
        <f>IF(B25="","",B25)</f>
        <v/>
      </c>
      <c r="B26" s="30" t="str">
        <f>IF(OR(A26="",C26=""),"",A26+C26*TIME(0,6,0))</f>
        <v/>
      </c>
      <c r="C26" s="18"/>
      <c r="D26" s="7" t="str">
        <f>IF(C26="","",C26*TIME(0,6,0))</f>
        <v/>
      </c>
      <c r="E26" s="11"/>
      <c r="F26" s="11"/>
      <c r="G26" s="8" t="str">
        <f>IFERROR(VLOOKUP(E26,'Task Type Lookups'!$A$2:$B$39,2,FALSE),"")</f>
        <v/>
      </c>
      <c r="H26" s="31"/>
    </row>
    <row r="27" spans="1:9" ht="30" customHeight="1">
      <c r="A27" s="30" t="str">
        <f>IF(B26="","",B26)</f>
        <v/>
      </c>
      <c r="B27" s="30" t="str">
        <f>IF(OR(A27="",C27=""),"",A27+C27*TIME(0,6,0))</f>
        <v/>
      </c>
      <c r="C27" s="18"/>
      <c r="D27" s="7" t="str">
        <f>IF(C27="","",C27*TIME(0,6,0))</f>
        <v/>
      </c>
      <c r="E27" s="11"/>
      <c r="F27" s="11"/>
      <c r="G27" s="8" t="str">
        <f>IFERROR(VLOOKUP(E27,'Task Type Lookups'!$A$2:$B$39,2,FALSE),"")</f>
        <v/>
      </c>
      <c r="H27" s="31"/>
    </row>
    <row r="28" spans="1:9" ht="30" customHeight="1">
      <c r="A28" s="30" t="str">
        <f>IF(B27="","",B27)</f>
        <v/>
      </c>
      <c r="B28" s="30" t="str">
        <f>IF(OR(A28="",C28=""),"",A28+C28*TIME(0,6,0))</f>
        <v/>
      </c>
      <c r="C28" s="18"/>
      <c r="D28" s="7" t="str">
        <f>IF(C28="","",C28*TIME(0,6,0))</f>
        <v/>
      </c>
      <c r="E28" s="11"/>
      <c r="F28" s="11"/>
      <c r="G28" s="8" t="str">
        <f>IFERROR(VLOOKUP(E28,'Task Type Lookups'!$A$2:$B$39,2,FALSE),"")</f>
        <v/>
      </c>
      <c r="H28" s="31"/>
    </row>
    <row r="29" spans="1:9" ht="30" customHeight="1">
      <c r="A29" s="30" t="str">
        <f>IF(B28="","",B28)</f>
        <v/>
      </c>
      <c r="B29" s="30" t="str">
        <f>IF(OR(A29="",C29=""),"",A29+C29*TIME(0,6,0))</f>
        <v/>
      </c>
      <c r="C29" s="18"/>
      <c r="D29" s="7" t="str">
        <f>IF(C29="","",C29*TIME(0,6,0))</f>
        <v/>
      </c>
      <c r="E29" s="11"/>
      <c r="F29" s="11"/>
      <c r="G29" s="8" t="str">
        <f>IFERROR(VLOOKUP(E29,'Task Type Lookups'!$A$2:$B$39,2,FALSE),"")</f>
        <v/>
      </c>
      <c r="H29" s="31"/>
      <c r="I29" s="1"/>
    </row>
    <row r="30" spans="1:9" ht="30" customHeight="1">
      <c r="A30" s="30" t="str">
        <f>IF(B29="","",B29)</f>
        <v/>
      </c>
      <c r="B30" s="30" t="str">
        <f>IF(OR(A30="",C30=""),"",A30+C30*TIME(0,6,0))</f>
        <v/>
      </c>
      <c r="C30" s="18"/>
      <c r="D30" s="7" t="str">
        <f>IF(C30="","",C30*TIME(0,6,0))</f>
        <v/>
      </c>
      <c r="E30" s="11"/>
      <c r="F30" s="11"/>
      <c r="G30" s="8" t="str">
        <f>IFERROR(VLOOKUP(E30,'Task Type Lookups'!$A$2:$B$39,2,FALSE),"")</f>
        <v/>
      </c>
      <c r="H30" s="31"/>
      <c r="I30" s="1"/>
    </row>
    <row r="31" spans="1:9" ht="30" customHeight="1">
      <c r="A31" s="30" t="str">
        <f>IF(B30="","",B30)</f>
        <v/>
      </c>
      <c r="B31" s="30" t="str">
        <f>IF(OR(A31="",C31=""),"",A31+C31*TIME(0,6,0))</f>
        <v/>
      </c>
      <c r="C31" s="18"/>
      <c r="D31" s="7" t="str">
        <f>IF(C31="","",C31*TIME(0,6,0))</f>
        <v/>
      </c>
      <c r="E31" s="11"/>
      <c r="F31" s="11"/>
      <c r="G31" s="8" t="str">
        <f>IFERROR(VLOOKUP(E31,'Task Type Lookups'!$A$2:$B$39,2,FALSE),"")</f>
        <v/>
      </c>
      <c r="H31" s="31"/>
      <c r="I31" s="1"/>
    </row>
    <row r="32" spans="1:9" ht="30" customHeight="1">
      <c r="A32" s="30" t="str">
        <f>IF(B31="","",B31)</f>
        <v/>
      </c>
      <c r="B32" s="30" t="str">
        <f>IF(OR(A32="",C32=""),"",A32+C32*TIME(0,6,0))</f>
        <v/>
      </c>
      <c r="C32" s="18"/>
      <c r="D32" s="7" t="str">
        <f>IF(C32="","",C32*TIME(0,6,0))</f>
        <v/>
      </c>
      <c r="E32" s="11"/>
      <c r="F32" s="11"/>
      <c r="G32" s="8" t="str">
        <f>IFERROR(VLOOKUP(E32,'Task Type Lookups'!$A$2:$B$39,2,FALSE),"")</f>
        <v/>
      </c>
      <c r="H32" s="31"/>
      <c r="I32" s="1"/>
    </row>
    <row r="33" spans="1:10" ht="30" customHeight="1">
      <c r="A33" s="30" t="str">
        <f>IF(B32="","",B32)</f>
        <v/>
      </c>
      <c r="B33" s="30" t="str">
        <f>IF(OR(A33="",C33=""),"",A33+C33*TIME(0,6,0))</f>
        <v/>
      </c>
      <c r="C33" s="18"/>
      <c r="D33" s="7" t="str">
        <f>IF(C33="","",C33*TIME(0,6,0))</f>
        <v/>
      </c>
      <c r="E33" s="11"/>
      <c r="F33" s="11"/>
      <c r="G33" s="8" t="str">
        <f>IFERROR(VLOOKUP(E33,'Task Type Lookups'!$A$2:$B$39,2,FALSE),"")</f>
        <v/>
      </c>
      <c r="H33" s="31"/>
      <c r="I33" s="1"/>
    </row>
    <row r="34" spans="1:10" ht="30" customHeight="1">
      <c r="A34" s="30" t="str">
        <f>IF(B33="","",B33)</f>
        <v/>
      </c>
      <c r="B34" s="30" t="str">
        <f>IF(OR(A34="",C34=""),"",A34+C34*TIME(0,6,0))</f>
        <v/>
      </c>
      <c r="C34" s="18"/>
      <c r="D34" s="7" t="str">
        <f>IF(C34="","",C34*TIME(0,6,0))</f>
        <v/>
      </c>
      <c r="E34" s="11"/>
      <c r="F34" s="11"/>
      <c r="G34" s="8" t="str">
        <f>IFERROR(VLOOKUP(E34,'Task Type Lookups'!$A$2:$B$39,2,FALSE),"")</f>
        <v/>
      </c>
      <c r="H34" s="31"/>
      <c r="I34" s="1"/>
    </row>
    <row r="35" spans="1:10" ht="30" customHeight="1">
      <c r="A35" s="30" t="str">
        <f>IF(B34="","",B34)</f>
        <v/>
      </c>
      <c r="B35" s="30" t="str">
        <f>IF(OR(A35="",C35=""),"",A35+C35*TIME(0,6,0))</f>
        <v/>
      </c>
      <c r="C35" s="18"/>
      <c r="D35" s="7" t="str">
        <f>IF(C35="","",C35*TIME(0,6,0))</f>
        <v/>
      </c>
      <c r="E35" s="11"/>
      <c r="F35" s="11"/>
      <c r="G35" s="8" t="str">
        <f>IFERROR(VLOOKUP(E35,'Task Type Lookups'!$A$2:$B$39,2,FALSE),"")</f>
        <v/>
      </c>
      <c r="H35" s="31"/>
      <c r="I35" s="1"/>
      <c r="J35" s="1"/>
    </row>
    <row r="36" spans="1:10" ht="30" customHeight="1">
      <c r="A36" s="30" t="str">
        <f>IF(B35="","",B35)</f>
        <v/>
      </c>
      <c r="B36" s="30" t="str">
        <f>IF(OR(A36="",C36=""),"",A36+C36*TIME(0,6,0))</f>
        <v/>
      </c>
      <c r="C36" s="18"/>
      <c r="D36" s="7" t="str">
        <f>IF(C36="","",C36*TIME(0,6,0))</f>
        <v/>
      </c>
      <c r="E36" s="11"/>
      <c r="F36" s="11"/>
      <c r="G36" s="8" t="str">
        <f>IFERROR(VLOOKUP(E36,'Task Type Lookups'!$A$2:$B$39,2,FALSE),"")</f>
        <v/>
      </c>
      <c r="H36" s="31"/>
      <c r="I36" s="1"/>
      <c r="J36" s="1"/>
    </row>
    <row r="37" spans="1:10" ht="30" customHeight="1">
      <c r="A37" s="30" t="str">
        <f>IF(B36="","",B36)</f>
        <v/>
      </c>
      <c r="B37" s="30" t="str">
        <f>IF(OR(A37="",C37=""),"",A37+C37*TIME(0,6,0))</f>
        <v/>
      </c>
      <c r="C37" s="18"/>
      <c r="D37" s="7" t="str">
        <f>IF(C37="","",C37*TIME(0,6,0))</f>
        <v/>
      </c>
      <c r="E37" s="11"/>
      <c r="F37" s="11"/>
      <c r="G37" s="8" t="str">
        <f>IFERROR(VLOOKUP(E37,'Task Type Lookups'!$A$2:$B$39,2,FALSE),"")</f>
        <v/>
      </c>
      <c r="H37" s="31"/>
      <c r="I37" s="13"/>
    </row>
    <row r="38" spans="1:10" ht="30" customHeight="1">
      <c r="A38" s="30" t="str">
        <f>IF(B37="","",B37)</f>
        <v/>
      </c>
      <c r="B38" s="30" t="str">
        <f>IF(OR(A38="",C38=""),"",A38+C38*TIME(0,6,0))</f>
        <v/>
      </c>
      <c r="C38" s="18"/>
      <c r="D38" s="7" t="str">
        <f>IF(C38="","",C38*TIME(0,6,0))</f>
        <v/>
      </c>
      <c r="E38" s="11"/>
      <c r="F38" s="11"/>
      <c r="G38" s="8" t="str">
        <f>IFERROR(VLOOKUP(E38,'Task Type Lookups'!$A$2:$B$39,2,FALSE),"")</f>
        <v/>
      </c>
      <c r="H38" s="31"/>
      <c r="I38" s="1"/>
      <c r="J38" s="1"/>
    </row>
    <row r="39" spans="1:10" ht="30" customHeight="1">
      <c r="A39" s="30" t="str">
        <f>IF(B38="","",B38)</f>
        <v/>
      </c>
      <c r="B39" s="30" t="str">
        <f>IF(OR(A39="",C39=""),"",A39+C39*TIME(0,6,0))</f>
        <v/>
      </c>
      <c r="C39" s="18"/>
      <c r="D39" s="7" t="str">
        <f>IF(C39="","",C39*TIME(0,6,0))</f>
        <v/>
      </c>
      <c r="E39" s="11"/>
      <c r="F39" s="11"/>
      <c r="G39" s="8" t="str">
        <f>IFERROR(VLOOKUP(E39,'Task Type Lookups'!$A$2:$B$39,2,FALSE),"")</f>
        <v/>
      </c>
      <c r="H39" s="31"/>
      <c r="I39" s="1"/>
      <c r="J39" s="1"/>
    </row>
    <row r="40" spans="1:10" ht="30" customHeight="1">
      <c r="A40" s="30" t="str">
        <f>IF(B39="","",B39)</f>
        <v/>
      </c>
      <c r="B40" s="30" t="str">
        <f>IF(OR(A40="",C40=""),"",A40+C40*TIME(0,6,0))</f>
        <v/>
      </c>
      <c r="C40" s="18"/>
      <c r="D40" s="7" t="str">
        <f>IF(C40="","",C40*TIME(0,6,0))</f>
        <v/>
      </c>
      <c r="E40" s="11"/>
      <c r="F40" s="11"/>
      <c r="G40" s="8" t="str">
        <f>IFERROR(VLOOKUP(E40,'Task Type Lookups'!$A$2:$B$39,2,FALSE),"")</f>
        <v/>
      </c>
      <c r="H40" s="31"/>
      <c r="I40" s="1"/>
      <c r="J40" s="1"/>
    </row>
    <row r="41" spans="1:10" ht="30" customHeight="1">
      <c r="A41" s="30" t="str">
        <f>IF(B40="","",B40)</f>
        <v/>
      </c>
      <c r="B41" s="30" t="str">
        <f>IF(OR(A41="",C41=""),"",A41+C41*TIME(0,6,0))</f>
        <v/>
      </c>
      <c r="C41" s="18"/>
      <c r="D41" s="9" t="str">
        <f>IF(C41="","",C41*TIME(0,6,0))</f>
        <v/>
      </c>
      <c r="E41" s="11"/>
      <c r="F41" s="11"/>
      <c r="G41" s="8" t="str">
        <f>IFERROR(VLOOKUP(E41,'Task Type Lookups'!$A$2:$B$39,2,FALSE),"")</f>
        <v/>
      </c>
      <c r="H41" s="31"/>
      <c r="I41" s="1"/>
      <c r="J41" s="1"/>
    </row>
    <row r="42" spans="1:10" ht="30" customHeight="1">
      <c r="A42" s="30" t="str">
        <f>IF(B41="","",B41)</f>
        <v/>
      </c>
      <c r="B42" s="30" t="str">
        <f>IF(OR(A42="",C42=""),"",A42+C42*TIME(0,6,0))</f>
        <v/>
      </c>
      <c r="C42" s="18"/>
      <c r="D42" s="9" t="str">
        <f>IF(C42="","",C42*TIME(0,6,0))</f>
        <v/>
      </c>
      <c r="E42" s="5"/>
      <c r="F42" s="5"/>
      <c r="G42" s="8" t="str">
        <f>IFERROR(VLOOKUP(E42,'Task Type Lookups'!$A$2:$B$39,2,FALSE),"")</f>
        <v/>
      </c>
      <c r="H42" s="1"/>
      <c r="I42" s="1"/>
      <c r="J42" s="1"/>
    </row>
    <row r="43" spans="1:10" ht="30" customHeight="1">
      <c r="A43" s="30" t="str">
        <f>IF(B42="","",B42)</f>
        <v/>
      </c>
      <c r="B43" s="30" t="str">
        <f>IF(OR(A43="",C43=""),"",A43+C43*TIME(0,6,0))</f>
        <v/>
      </c>
      <c r="C43" s="18"/>
      <c r="D43" s="9" t="str">
        <f>IF(C43="","",C43*TIME(0,6,0))</f>
        <v/>
      </c>
      <c r="E43" s="5"/>
      <c r="F43" s="5"/>
      <c r="G43" s="8" t="str">
        <f>IFERROR(VLOOKUP(E43,'Task Type Lookups'!$A$2:$B$39,2,FALSE),"")</f>
        <v/>
      </c>
      <c r="H43" s="1"/>
      <c r="I43" s="1"/>
      <c r="J43" s="1"/>
    </row>
    <row r="44" spans="1:10" ht="30" customHeight="1">
      <c r="A44" s="30" t="str">
        <f>IF(B43="","",B43)</f>
        <v/>
      </c>
      <c r="B44" s="30" t="str">
        <f>IF(OR(A44="",C44=""),"",A44+C44*TIME(0,6,0))</f>
        <v/>
      </c>
      <c r="C44" s="18"/>
      <c r="D44" s="9" t="str">
        <f>IF(C44="","",C44*TIME(0,6,0))</f>
        <v/>
      </c>
      <c r="E44" s="5"/>
      <c r="F44" s="5"/>
      <c r="G44" s="8" t="str">
        <f>IFERROR(VLOOKUP(E44,'Task Type Lookups'!$A$2:$B$39,2,FALSE),"")</f>
        <v/>
      </c>
      <c r="H44" s="1"/>
      <c r="I44" s="1"/>
      <c r="J44" s="1"/>
    </row>
    <row r="45" spans="1:10" ht="30" customHeight="1">
      <c r="A45" s="14" t="str">
        <f>IF(B44="","",B44)</f>
        <v/>
      </c>
      <c r="B45" s="14" t="str">
        <f>IF(OR(A45="",C45=""),"",A45+C45*TIME(0,6,0))</f>
        <v/>
      </c>
      <c r="C45" s="19"/>
      <c r="D45" s="15" t="str">
        <f>IF(C45="","",C45*TIME(0,6,0))</f>
        <v/>
      </c>
      <c r="E45" s="2"/>
      <c r="F45" s="2"/>
      <c r="G45" s="16" t="str">
        <f>IFERROR(VLOOKUP(E45,'Task Type Lookups'!$A$2:$B$39,2,FALSE),"")</f>
        <v/>
      </c>
    </row>
  </sheetData>
  <sheetProtection sheet="1" formatCells="0" formatColumns="0" formatRows="0" insertColumns="0" insertRows="0" deleteColumns="0" deleteRows="0" selectLockedCells="1" sort="0"/>
  <autoFilter ref="A3:G45" xr:uid="{00000000-0009-0000-0000-000000000000}"/>
  <mergeCells count="2">
    <mergeCell ref="B1:D1"/>
    <mergeCell ref="B2:D2"/>
  </mergeCells>
  <dataValidations count="2">
    <dataValidation type="list" allowBlank="1" showInputMessage="1" showErrorMessage="1" errorTitle="Invalid task type" error="Select a task type from the list, or type enough letters to choose a matching item." promptTitle="Task Type" prompt="Start typing the task type or use the drop-down arrow." sqref="E4:E44" xr:uid="{00000000-0002-0000-0000-000000000000}">
      <formula1>TaskTypesList</formula1>
    </dataValidation>
    <dataValidation type="whole" operator="greaterThanOrEqual" allowBlank="1" showInputMessage="1" showErrorMessage="1" errorTitle="Invalid units" error="Enter the number of 6-minute units as a whole number." promptTitle="Units" prompt="Enter units. Each unit equals 6 minutes." sqref="C4:C45" xr:uid="{00000000-0002-0000-0000-000001000000}">
      <formula1>0</formula1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2" width="85" customWidth="1"/>
  </cols>
  <sheetData>
    <row r="1" spans="1:2">
      <c r="A1" s="17" t="s">
        <v>9</v>
      </c>
      <c r="B1" s="17" t="s">
        <v>13</v>
      </c>
    </row>
    <row r="2" spans="1:2">
      <c r="A2" t="s">
        <v>14</v>
      </c>
      <c r="B2" s="16"/>
    </row>
    <row r="3" spans="1:2">
      <c r="A3" t="s">
        <v>15</v>
      </c>
      <c r="B3" s="16"/>
    </row>
    <row r="4" spans="1:2" ht="30" customHeight="1">
      <c r="A4" t="s">
        <v>16</v>
      </c>
      <c r="B4" s="16"/>
    </row>
    <row r="5" spans="1:2" ht="30" customHeight="1">
      <c r="A5" t="s">
        <v>17</v>
      </c>
      <c r="B5" s="16"/>
    </row>
    <row r="6" spans="1:2" ht="30" customHeight="1">
      <c r="A6" t="s">
        <v>18</v>
      </c>
      <c r="B6" s="16"/>
    </row>
    <row r="7" spans="1:2">
      <c r="A7" t="s">
        <v>19</v>
      </c>
      <c r="B7" s="16"/>
    </row>
    <row r="8" spans="1:2" ht="30" customHeight="1">
      <c r="A8" t="s">
        <v>20</v>
      </c>
      <c r="B8" s="16"/>
    </row>
    <row r="9" spans="1:2">
      <c r="A9" t="s">
        <v>21</v>
      </c>
      <c r="B9" s="16"/>
    </row>
    <row r="10" spans="1:2">
      <c r="A10" t="s">
        <v>22</v>
      </c>
      <c r="B10" s="16"/>
    </row>
    <row r="11" spans="1:2">
      <c r="A11" t="s">
        <v>23</v>
      </c>
      <c r="B11" s="16"/>
    </row>
    <row r="12" spans="1:2">
      <c r="A12" t="s">
        <v>24</v>
      </c>
      <c r="B12" s="16"/>
    </row>
    <row r="13" spans="1:2">
      <c r="A13" t="s">
        <v>25</v>
      </c>
      <c r="B13" s="16"/>
    </row>
    <row r="14" spans="1:2">
      <c r="A14" t="s">
        <v>26</v>
      </c>
      <c r="B14" s="16"/>
    </row>
    <row r="15" spans="1:2">
      <c r="A15" t="s">
        <v>27</v>
      </c>
      <c r="B15" s="16"/>
    </row>
    <row r="16" spans="1:2">
      <c r="A16" t="s">
        <v>28</v>
      </c>
      <c r="B16" s="16"/>
    </row>
    <row r="17" spans="1:2">
      <c r="A17" t="s">
        <v>29</v>
      </c>
      <c r="B17" s="16"/>
    </row>
    <row r="18" spans="1:2">
      <c r="A18" t="s">
        <v>30</v>
      </c>
      <c r="B18" s="16"/>
    </row>
    <row r="19" spans="1:2">
      <c r="A19" t="s">
        <v>31</v>
      </c>
      <c r="B19" s="16"/>
    </row>
    <row r="20" spans="1:2">
      <c r="A20" t="s">
        <v>32</v>
      </c>
      <c r="B20" s="16" t="s">
        <v>33</v>
      </c>
    </row>
    <row r="21" spans="1:2">
      <c r="A21" t="s">
        <v>34</v>
      </c>
      <c r="B21" s="16" t="s">
        <v>35</v>
      </c>
    </row>
    <row r="22" spans="1:2">
      <c r="A22" t="s">
        <v>36</v>
      </c>
      <c r="B22" s="16" t="s">
        <v>35</v>
      </c>
    </row>
    <row r="23" spans="1:2">
      <c r="A23" t="s">
        <v>12</v>
      </c>
      <c r="B23" s="16"/>
    </row>
    <row r="24" spans="1:2">
      <c r="A24" t="s">
        <v>37</v>
      </c>
      <c r="B24" s="16"/>
    </row>
    <row r="25" spans="1:2">
      <c r="A25" t="s">
        <v>38</v>
      </c>
      <c r="B25" s="16"/>
    </row>
    <row r="26" spans="1:2">
      <c r="A26" t="s">
        <v>39</v>
      </c>
      <c r="B26" s="16"/>
    </row>
    <row r="27" spans="1:2">
      <c r="A27" t="s">
        <v>40</v>
      </c>
      <c r="B27" s="16"/>
    </row>
    <row r="28" spans="1:2">
      <c r="A28" t="s">
        <v>41</v>
      </c>
      <c r="B28" s="16"/>
    </row>
    <row r="29" spans="1:2">
      <c r="A29" t="s">
        <v>42</v>
      </c>
      <c r="B29" s="16"/>
    </row>
    <row r="30" spans="1:2">
      <c r="A30" t="s">
        <v>43</v>
      </c>
      <c r="B30" s="16"/>
    </row>
    <row r="31" spans="1:2">
      <c r="A31" t="s">
        <v>44</v>
      </c>
      <c r="B31" s="16"/>
    </row>
    <row r="32" spans="1:2">
      <c r="A32" t="s">
        <v>45</v>
      </c>
      <c r="B32" s="16"/>
    </row>
    <row r="33" spans="1:2">
      <c r="A33" t="s">
        <v>46</v>
      </c>
      <c r="B33" s="16" t="s">
        <v>35</v>
      </c>
    </row>
    <row r="34" spans="1:2">
      <c r="A34" t="s">
        <v>47</v>
      </c>
      <c r="B34" s="16"/>
    </row>
    <row r="35" spans="1:2">
      <c r="A35" t="s">
        <v>48</v>
      </c>
      <c r="B35" s="16"/>
    </row>
    <row r="36" spans="1:2">
      <c r="A36" t="s">
        <v>49</v>
      </c>
      <c r="B36" s="16"/>
    </row>
    <row r="37" spans="1:2">
      <c r="A37" t="s">
        <v>50</v>
      </c>
      <c r="B37" s="16"/>
    </row>
    <row r="38" spans="1:2">
      <c r="A38" t="s">
        <v>51</v>
      </c>
      <c r="B38" s="16"/>
    </row>
    <row r="39" spans="1:2">
      <c r="A39" t="s">
        <v>52</v>
      </c>
      <c r="B39" s="16"/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 Lim</dc:creator>
  <cp:keywords/>
  <dc:description/>
  <cp:lastModifiedBy>Les Lim</cp:lastModifiedBy>
  <cp:revision/>
  <dcterms:created xsi:type="dcterms:W3CDTF">2026-09-20T12:15:31Z</dcterms:created>
  <dcterms:modified xsi:type="dcterms:W3CDTF">2026-09-20T23:19:53Z</dcterms:modified>
  <cp:category/>
  <cp:contentStatus/>
</cp:coreProperties>
</file>